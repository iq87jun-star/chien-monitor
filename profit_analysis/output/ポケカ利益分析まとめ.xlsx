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利益商品一覧" sheetId="1" state="visible" r:id="rId1"/>
    <sheet name="30万円配分(方針A)" sheetId="2" state="visible" r:id="rId2"/>
    <sheet name="仕入れ先・販売先" sheetId="3" state="visible" r:id="rId3"/>
    <sheet name="仕入れ候補・相場ツール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円&quot;"/>
    <numFmt numFmtId="165" formatCode="0.0&quot;%&quot;"/>
  </numFmts>
  <fonts count="7">
    <font>
      <name val="Calibri"/>
      <family val="2"/>
      <color theme="1"/>
      <sz val="11"/>
      <scheme val="minor"/>
    </font>
    <font>
      <b val="1"/>
      <color rgb="001A56DB"/>
      <sz val="14"/>
    </font>
    <font>
      <b val="1"/>
      <color rgb="00FFFFFF"/>
      <sz val="11"/>
    </font>
    <font>
      <b val="1"/>
    </font>
    <font>
      <i val="1"/>
      <color rgb="00666666"/>
      <sz val="9"/>
    </font>
    <font>
      <b val="1"/>
      <color rgb="001A56DB"/>
      <sz val="12"/>
    </font>
    <font>
      <color rgb="001A56DB"/>
      <u val="single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EF3FF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164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3" fillId="3" borderId="1" pivotButton="0" quotePrefix="0" xfId="0"/>
    <xf numFmtId="164" fontId="3" fillId="3" borderId="1" pivotButton="0" quotePrefix="0" xfId="0"/>
    <xf numFmtId="165" fontId="3" fillId="3" borderId="1" pivotButton="0" quotePrefix="0" xfId="0"/>
    <xf numFmtId="0" fontId="4" fillId="0" borderId="0" pivotButton="0" quotePrefix="0" xfId="0"/>
    <xf numFmtId="0" fontId="5" fillId="0" borderId="0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www.suruga-ya.jp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card-compass.jp/serena-sr/" TargetMode="External" Id="rId1" /><Relationship Type="http://schemas.openxmlformats.org/officeDocument/2006/relationships/hyperlink" Target="https://premium.gamepedia.jp/pokeca/card/%E3%83%AB%E3%83%AA%E3%83%8A" TargetMode="External" Id="rId2" /><Relationship Type="http://schemas.openxmlformats.org/officeDocument/2006/relationships/hyperlink" Target="https://premium.gamepedia.jp/pokeca/card/%E3%82%BD%E3%83%8B%E3%82%A2" TargetMode="External" Id="rId3" /><Relationship Type="http://schemas.openxmlformats.org/officeDocument/2006/relationships/hyperlink" Target="https://pokeka-atari.jp/ranking/crash" TargetMode="External" Id="rId4" /><Relationship Type="http://schemas.openxmlformats.org/officeDocument/2006/relationships/hyperlink" Target="https://pokeca-chart.com/" TargetMode="External" Id="rId5" /><Relationship Type="http://schemas.openxmlformats.org/officeDocument/2006/relationships/hyperlink" Target="https://pokeka-atari.jp/ranking/crash" TargetMode="External" Id="rId6" /><Relationship Type="http://schemas.openxmlformats.org/officeDocument/2006/relationships/hyperlink" Target="https://altema.jp/pokemoncard/koutou" TargetMode="External" Id="rId7" /><Relationship Type="http://schemas.openxmlformats.org/officeDocument/2006/relationships/hyperlink" Target="https://torechart.com/pokemon/priceup" TargetMode="External" Id="rId8" /><Relationship Type="http://schemas.openxmlformats.org/officeDocument/2006/relationships/hyperlink" Target="https://snkrdunk.com/articles/30531/" TargetMode="External" Id="rId9" /><Relationship Type="http://schemas.openxmlformats.org/officeDocument/2006/relationships/hyperlink" Target="https://www.suruga-ya.jp/kaitori/search_buy?category=501080033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9" customWidth="1" min="6" max="6"/>
    <col width="30" customWidth="1" min="7" max="7"/>
  </cols>
  <sheetData>
    <row r="1" ht="24" customHeight="1">
      <c r="A1" s="1" t="inlineStr">
        <is>
          <t>■ 利益商品一覧（②③統合・利益額の大きい順 → 利益率の高い順）</t>
        </is>
      </c>
    </row>
    <row r="3">
      <c r="A3" s="2" t="inlineStr">
        <is>
          <t>商品名</t>
        </is>
      </c>
      <c r="B3" s="2" t="inlineStr">
        <is>
          <t>仕入れ値</t>
        </is>
      </c>
      <c r="C3" s="2" t="inlineStr">
        <is>
          <t>販売額</t>
        </is>
      </c>
      <c r="D3" s="2" t="inlineStr">
        <is>
          <t>手数料</t>
        </is>
      </c>
      <c r="E3" s="2" t="inlineStr">
        <is>
          <t>1個利益</t>
        </is>
      </c>
      <c r="F3" s="2" t="inlineStr">
        <is>
          <t>利益率</t>
        </is>
      </c>
      <c r="G3" s="2" t="inlineStr">
        <is>
          <t>出典</t>
        </is>
      </c>
    </row>
    <row r="4">
      <c r="A4" s="3" t="inlineStr">
        <is>
          <t>観光客</t>
        </is>
      </c>
      <c r="B4" s="4" t="n">
        <v>111000</v>
      </c>
      <c r="C4" s="4" t="n">
        <v>300000</v>
      </c>
      <c r="D4" s="4" t="n">
        <v>33300</v>
      </c>
      <c r="E4" s="4" t="n">
        <v>155700</v>
      </c>
      <c r="F4" s="5" t="n">
        <v>140.3</v>
      </c>
      <c r="G4" s="6" t="inlineStr">
        <is>
          <t>コピー～ポケモン利益計算(2022-10-09)</t>
        </is>
      </c>
    </row>
    <row r="5">
      <c r="A5" s="3" t="inlineStr">
        <is>
          <t>セレナ</t>
        </is>
      </c>
      <c r="B5" s="4" t="n">
        <v>46500</v>
      </c>
      <c r="C5" s="4" t="n">
        <v>179000</v>
      </c>
      <c r="D5" s="4" t="n">
        <v>21200</v>
      </c>
      <c r="E5" s="4" t="n">
        <v>111300</v>
      </c>
      <c r="F5" s="5" t="n">
        <v>239.4</v>
      </c>
      <c r="G5" s="6" t="inlineStr">
        <is>
          <t>コピー～ポケモン利益計算(2022-10-16)</t>
        </is>
      </c>
    </row>
    <row r="6">
      <c r="A6" s="3" t="inlineStr">
        <is>
          <t>ソニア</t>
        </is>
      </c>
      <c r="B6" s="4" t="n">
        <v>43521</v>
      </c>
      <c r="C6" s="4" t="n">
        <v>169999</v>
      </c>
      <c r="D6" s="4" t="n">
        <v>20299.9</v>
      </c>
      <c r="E6" s="4" t="n">
        <v>106178.1</v>
      </c>
      <c r="F6" s="5" t="n">
        <v>244</v>
      </c>
      <c r="G6" s="6" t="inlineStr">
        <is>
          <t>コピー～ポケモン利益計算(2022-10-09)</t>
        </is>
      </c>
    </row>
    <row r="7">
      <c r="A7" s="3" t="inlineStr">
        <is>
          <t>ユウリ</t>
        </is>
      </c>
      <c r="B7" s="4" t="n">
        <v>41000</v>
      </c>
      <c r="C7" s="4" t="n">
        <v>150000</v>
      </c>
      <c r="D7" s="4" t="n">
        <v>18300</v>
      </c>
      <c r="E7" s="4" t="n">
        <v>90700</v>
      </c>
      <c r="F7" s="5" t="n">
        <v>221.2</v>
      </c>
      <c r="G7" s="6" t="inlineStr">
        <is>
          <t>コピー～ポケモン利益計算(2022-10-16)</t>
        </is>
      </c>
    </row>
    <row r="8">
      <c r="A8" s="3" t="inlineStr">
        <is>
          <t>ルリナ</t>
        </is>
      </c>
      <c r="B8" s="4" t="n">
        <v>18500</v>
      </c>
      <c r="C8" s="4" t="n">
        <v>83000</v>
      </c>
      <c r="D8" s="4" t="n">
        <v>11600</v>
      </c>
      <c r="E8" s="4" t="n">
        <v>52900</v>
      </c>
      <c r="F8" s="5" t="n">
        <v>285.9</v>
      </c>
      <c r="G8" s="6" t="inlineStr">
        <is>
          <t>コピー～ポケモン利益計算(2022-10-16)</t>
        </is>
      </c>
    </row>
    <row r="9">
      <c r="A9" s="3" t="inlineStr">
        <is>
          <t>マリィのプライド</t>
        </is>
      </c>
      <c r="B9" s="4" t="n">
        <v>35000</v>
      </c>
      <c r="C9" s="4" t="n">
        <v>97777</v>
      </c>
      <c r="D9" s="4" t="n">
        <v>13077.7</v>
      </c>
      <c r="E9" s="4" t="n">
        <v>49699.3</v>
      </c>
      <c r="F9" s="5" t="n">
        <v>142</v>
      </c>
      <c r="G9" s="6" t="inlineStr">
        <is>
          <t>コピー～ポケモン利益計算(2022-10-09)</t>
        </is>
      </c>
    </row>
    <row r="10">
      <c r="A10" s="3" t="inlineStr">
        <is>
          <t>クララ</t>
        </is>
      </c>
      <c r="B10" s="4" t="n">
        <v>28555</v>
      </c>
      <c r="C10" s="4" t="n">
        <v>75000</v>
      </c>
      <c r="D10" s="4" t="n">
        <v>10800</v>
      </c>
      <c r="E10" s="4" t="n">
        <v>35645</v>
      </c>
      <c r="F10" s="5" t="n">
        <v>124.8</v>
      </c>
      <c r="G10" s="6" t="inlineStr">
        <is>
          <t>コピー～ポケモン利益計算(2022-10-16)</t>
        </is>
      </c>
    </row>
    <row r="11">
      <c r="A11" s="3" t="inlineStr">
        <is>
          <t>マリィ</t>
        </is>
      </c>
      <c r="B11" s="4" t="n">
        <v>45000</v>
      </c>
      <c r="C11" s="4" t="n">
        <v>91000</v>
      </c>
      <c r="D11" s="4" t="n">
        <v>12400</v>
      </c>
      <c r="E11" s="4" t="n">
        <v>33600</v>
      </c>
      <c r="F11" s="5" t="n">
        <v>74.7</v>
      </c>
      <c r="G11" s="6" t="inlineStr">
        <is>
          <t>コピー～ポケモン利益計算(2022-10-09)</t>
        </is>
      </c>
    </row>
    <row r="12">
      <c r="A12" s="3" t="inlineStr">
        <is>
          <t>サナ</t>
        </is>
      </c>
      <c r="B12" s="4" t="n">
        <v>17888</v>
      </c>
      <c r="C12" s="4" t="n">
        <v>55999</v>
      </c>
      <c r="D12" s="4" t="n">
        <v>8899.9</v>
      </c>
      <c r="E12" s="4" t="n">
        <v>29211.1</v>
      </c>
      <c r="F12" s="5" t="n">
        <v>163.3</v>
      </c>
      <c r="G12" s="6" t="inlineStr">
        <is>
          <t>コピー～ポケモン利益計算(2022-10-16)</t>
        </is>
      </c>
    </row>
    <row r="13">
      <c r="A13" s="3" t="inlineStr">
        <is>
          <t>カイ</t>
        </is>
      </c>
      <c r="B13" s="4" t="n">
        <v>34333</v>
      </c>
      <c r="C13" s="4" t="n">
        <v>71800</v>
      </c>
      <c r="D13" s="4" t="n">
        <v>10480</v>
      </c>
      <c r="E13" s="4" t="n">
        <v>26987</v>
      </c>
      <c r="F13" s="5" t="n">
        <v>78.59999999999999</v>
      </c>
      <c r="G13" s="6" t="inlineStr">
        <is>
          <t>コピー～ポケモン利益計算(2022-10-09)</t>
        </is>
      </c>
    </row>
    <row r="14">
      <c r="A14" s="7" t="inlineStr">
        <is>
          <t>合計/平均</t>
        </is>
      </c>
      <c r="B14" s="8">
        <f>SUM(B4:B13)</f>
        <v/>
      </c>
      <c r="C14" s="8">
        <f>SUM(C4:C13)</f>
        <v/>
      </c>
      <c r="D14" s="8">
        <f>SUM(D4:D13)</f>
        <v/>
      </c>
      <c r="E14" s="8">
        <f>SUM(E4:E13)</f>
        <v/>
      </c>
      <c r="F14" s="9">
        <f>AVERAGE(F4:F13)</f>
        <v/>
      </c>
      <c r="G14" s="7" t="n"/>
    </row>
    <row r="16">
      <c r="A16" s="10" t="inlineStr">
        <is>
          <t>計算式: 1個利益 = 販売額 − 仕入れ値 − 手数料 ／ 利益率 = 1個利益 ÷ 仕入れ値</t>
        </is>
      </c>
    </row>
    <row r="17">
      <c r="A17" s="10" t="inlineStr">
        <is>
          <t>手数料の実態 = 販売額×10% + 3,300円（メルカリ10%＋送料相当と整合）</t>
        </is>
      </c>
    </row>
    <row r="18">
      <c r="A18" s="10" t="inlineStr">
        <is>
          <t>除外した商品: なし（10商品すべて利益プラス）。原本テンプレ(空)は対象外。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8" customWidth="1" min="3" max="3"/>
    <col width="14" customWidth="1" min="4" max="4"/>
    <col width="16" customWidth="1" min="5" max="5"/>
  </cols>
  <sheetData>
    <row r="1" ht="24" customHeight="1">
      <c r="A1" s="1" t="inlineStr">
        <is>
          <t>■ 30万円投入時の最適配分（方針A=合計利益が最大）</t>
        </is>
      </c>
    </row>
    <row r="3">
      <c r="A3" s="11" t="inlineStr">
        <is>
          <t>【A-1】上限なし（タスク既定: 予算が許す限り仕入れ可）</t>
        </is>
      </c>
    </row>
    <row r="4">
      <c r="A4" s="2" t="inlineStr">
        <is>
          <t>商品名</t>
        </is>
      </c>
      <c r="B4" s="2" t="inlineStr">
        <is>
          <t>仕入れ単価</t>
        </is>
      </c>
      <c r="C4" s="2" t="inlineStr">
        <is>
          <t>個数</t>
        </is>
      </c>
      <c r="D4" s="2" t="inlineStr">
        <is>
          <t>投入額</t>
        </is>
      </c>
      <c r="E4" s="2" t="inlineStr">
        <is>
          <t>見込み利益</t>
        </is>
      </c>
    </row>
    <row r="5">
      <c r="A5" s="3" t="inlineStr">
        <is>
          <t>ルリナ</t>
        </is>
      </c>
      <c r="B5" s="12" t="n">
        <v>18500</v>
      </c>
      <c r="C5" s="13" t="n">
        <v>16</v>
      </c>
      <c r="D5" s="12" t="n">
        <v>296000</v>
      </c>
      <c r="E5" s="12" t="n">
        <v>846400</v>
      </c>
    </row>
    <row r="6">
      <c r="A6" s="7" t="inlineStr">
        <is>
          <t>合計</t>
        </is>
      </c>
      <c r="B6" s="7" t="n"/>
      <c r="C6" s="7" t="n"/>
      <c r="D6" s="8" t="n">
        <v>296000</v>
      </c>
      <c r="E6" s="8" t="n">
        <v>846400</v>
      </c>
    </row>
    <row r="7">
      <c r="A7" s="14" t="inlineStr">
        <is>
          <t>投入額 296,000円 ／ 端数(未使用) 4,000円 ／ 見込み利益 846,400円 ／ ROI 285.9%</t>
        </is>
      </c>
    </row>
    <row r="8">
      <c r="A8" s="10" t="inlineStr">
        <is>
          <t>※同一カードを大量に揃えられる前提。利益率最大のルリナに集中。端数4,000円は最安商品未満で使用不可。</t>
        </is>
      </c>
    </row>
    <row r="10">
      <c r="A10" s="11" t="inlineStr">
        <is>
          <t>【A-2】各商品1枚まで（現実シナリオ: 同一カードを揃えにくい場合）</t>
        </is>
      </c>
    </row>
    <row r="11">
      <c r="A11" s="2" t="inlineStr">
        <is>
          <t>商品名</t>
        </is>
      </c>
      <c r="B11" s="2" t="inlineStr">
        <is>
          <t>仕入れ単価</t>
        </is>
      </c>
      <c r="C11" s="2" t="inlineStr">
        <is>
          <t>個数</t>
        </is>
      </c>
      <c r="D11" s="2" t="inlineStr">
        <is>
          <t>投入額</t>
        </is>
      </c>
      <c r="E11" s="2" t="inlineStr">
        <is>
          <t>見込み利益</t>
        </is>
      </c>
    </row>
    <row r="12">
      <c r="A12" s="3" t="inlineStr">
        <is>
          <t>観光客</t>
        </is>
      </c>
      <c r="B12" s="12" t="n">
        <v>111000</v>
      </c>
      <c r="C12" s="13" t="n">
        <v>1</v>
      </c>
      <c r="D12" s="12" t="n">
        <v>111000</v>
      </c>
      <c r="E12" s="12" t="n">
        <v>155700</v>
      </c>
    </row>
    <row r="13">
      <c r="A13" s="3" t="inlineStr">
        <is>
          <t>セレナ</t>
        </is>
      </c>
      <c r="B13" s="12" t="n">
        <v>46500</v>
      </c>
      <c r="C13" s="13" t="n">
        <v>1</v>
      </c>
      <c r="D13" s="12" t="n">
        <v>46500</v>
      </c>
      <c r="E13" s="12" t="n">
        <v>111300</v>
      </c>
    </row>
    <row r="14">
      <c r="A14" s="3" t="inlineStr">
        <is>
          <t>ソニア</t>
        </is>
      </c>
      <c r="B14" s="12" t="n">
        <v>43521</v>
      </c>
      <c r="C14" s="13" t="n">
        <v>1</v>
      </c>
      <c r="D14" s="12" t="n">
        <v>43521</v>
      </c>
      <c r="E14" s="12" t="n">
        <v>106178.1</v>
      </c>
    </row>
    <row r="15">
      <c r="A15" s="3" t="inlineStr">
        <is>
          <t>ユウリ</t>
        </is>
      </c>
      <c r="B15" s="12" t="n">
        <v>41000</v>
      </c>
      <c r="C15" s="13" t="n">
        <v>1</v>
      </c>
      <c r="D15" s="12" t="n">
        <v>41000</v>
      </c>
      <c r="E15" s="12" t="n">
        <v>90700</v>
      </c>
    </row>
    <row r="16">
      <c r="A16" s="3" t="inlineStr">
        <is>
          <t>ルリナ</t>
        </is>
      </c>
      <c r="B16" s="12" t="n">
        <v>18500</v>
      </c>
      <c r="C16" s="13" t="n">
        <v>1</v>
      </c>
      <c r="D16" s="12" t="n">
        <v>18500</v>
      </c>
      <c r="E16" s="12" t="n">
        <v>52900</v>
      </c>
    </row>
    <row r="17">
      <c r="A17" s="3" t="inlineStr">
        <is>
          <t>マリィのプライド</t>
        </is>
      </c>
      <c r="B17" s="12" t="n">
        <v>35000</v>
      </c>
      <c r="C17" s="13" t="n">
        <v>1</v>
      </c>
      <c r="D17" s="12" t="n">
        <v>35000</v>
      </c>
      <c r="E17" s="12" t="n">
        <v>49699.3</v>
      </c>
    </row>
    <row r="18">
      <c r="A18" s="7" t="inlineStr">
        <is>
          <t>合計</t>
        </is>
      </c>
      <c r="B18" s="7" t="n"/>
      <c r="C18" s="7" t="n"/>
      <c r="D18" s="8" t="n">
        <v>295521</v>
      </c>
      <c r="E18" s="8" t="n">
        <v>566477.4</v>
      </c>
    </row>
    <row r="19">
      <c r="A19" s="14" t="inlineStr">
        <is>
          <t>投入額 295,521円 ／ 端数(未使用) 4,479円 ／ 見込み利益 566,477円 ／ ROI 191.7%</t>
        </is>
      </c>
    </row>
    <row r="20">
      <c r="A20" s="10" t="inlineStr">
        <is>
          <t>※在庫を各1枚に制限した0/1ナップサック。端数4,479円は使用不可。現実の物販に近い見込み。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34" customWidth="1" min="3" max="3"/>
    <col width="18" customWidth="1" min="4" max="4"/>
  </cols>
  <sheetData>
    <row r="1" ht="24" customHeight="1">
      <c r="A1" s="1" t="inlineStr">
        <is>
          <t>■ 仕入れ先・販売先（2026年・手数料/特徴）</t>
        </is>
      </c>
    </row>
    <row r="3">
      <c r="A3" s="11" t="inlineStr">
        <is>
          <t>● 販売先（高く売る＝手取りを残す）</t>
        </is>
      </c>
    </row>
    <row r="4">
      <c r="A4" s="2" t="inlineStr">
        <is>
          <t>販売先</t>
        </is>
      </c>
      <c r="B4" s="2" t="inlineStr">
        <is>
          <t>販売手数料</t>
        </is>
      </c>
      <c r="C4" s="2" t="inlineStr">
        <is>
          <t>特徴</t>
        </is>
      </c>
      <c r="D4" s="2" t="inlineStr">
        <is>
          <t>向き</t>
        </is>
      </c>
    </row>
    <row r="5">
      <c r="A5" s="15" t="inlineStr">
        <is>
          <t>magi（マギ）</t>
        </is>
      </c>
      <c r="B5" s="16" t="inlineStr">
        <is>
          <t>3%(+振込200円)</t>
        </is>
      </c>
      <c r="C5" s="16" t="inlineStr">
        <is>
          <t>トレカ特化・本物保証。手取り最大</t>
        </is>
      </c>
      <c r="D5" s="16" t="inlineStr">
        <is>
          <t>高額・コレクター品◎</t>
        </is>
      </c>
    </row>
    <row r="6">
      <c r="A6" s="15" t="inlineStr">
        <is>
          <t>スニダン</t>
        </is>
      </c>
      <c r="B6" s="16" t="inlineStr">
        <is>
          <t>4.4〜6.05%</t>
        </is>
      </c>
      <c r="C6" s="16" t="inlineStr">
        <is>
          <t>プロ鑑定付きで買い手が安心</t>
        </is>
      </c>
      <c r="D6" s="16" t="inlineStr">
        <is>
          <t>高額品・鑑定需要</t>
        </is>
      </c>
    </row>
    <row r="7">
      <c r="A7" s="15" t="inlineStr">
        <is>
          <t>Yahoo!フリマ</t>
        </is>
      </c>
      <c r="B7" s="16" t="inlineStr">
        <is>
          <t>5%</t>
        </is>
      </c>
      <c r="C7" s="16" t="inlineStr">
        <is>
          <t>メルカリより安く集客もそこそこ</t>
        </is>
      </c>
      <c r="D7" s="16" t="inlineStr">
        <is>
          <t>中価格帯</t>
        </is>
      </c>
    </row>
    <row r="8">
      <c r="A8" s="15" t="inlineStr">
        <is>
          <t>ラクマ</t>
        </is>
      </c>
      <c r="B8" s="16" t="inlineStr">
        <is>
          <t>4.5〜10%(変動)</t>
        </is>
      </c>
      <c r="C8" s="16" t="inlineStr">
        <is>
          <t>楽天経済圏で有利</t>
        </is>
      </c>
      <c r="D8" s="16" t="inlineStr">
        <is>
          <t>楽天ユーザー</t>
        </is>
      </c>
    </row>
    <row r="9">
      <c r="A9" s="15" t="inlineStr">
        <is>
          <t>メルカリ</t>
        </is>
      </c>
      <c r="B9" s="16" t="inlineStr">
        <is>
          <t>10%</t>
        </is>
      </c>
      <c r="C9" s="16" t="inlineStr">
        <is>
          <t>集客No.1＝最も売れやすい/相場が立つ</t>
        </is>
      </c>
      <c r="D9" s="16" t="inlineStr">
        <is>
          <t>回転重視・相場薄い品</t>
        </is>
      </c>
    </row>
    <row r="10">
      <c r="A10" s="15" t="inlineStr">
        <is>
          <t>ヤフオク</t>
        </is>
      </c>
      <c r="B10" s="16" t="inlineStr">
        <is>
          <t>10%(プレ会員8.64%)</t>
        </is>
      </c>
      <c r="C10" s="16" t="inlineStr">
        <is>
          <t>競りで相場超えを狙える</t>
        </is>
      </c>
      <c r="D10" s="16" t="inlineStr">
        <is>
          <t>激レア・希少カード</t>
        </is>
      </c>
    </row>
    <row r="11">
      <c r="A11" s="10" t="inlineStr">
        <is>
          <t>おすすめ: 高額品はmagi(3%)、回転重視はメルカリ、激レアはヤフオク。メルカリ(10%)→magi(3%)で販売額の約7%が利益増（10商品で約+89,000円）。</t>
        </is>
      </c>
    </row>
    <row r="14">
      <c r="A14" s="11" t="inlineStr">
        <is>
          <t>● 仕入れ先（安く仕入れる＝原価を下げる）</t>
        </is>
      </c>
    </row>
    <row r="15">
      <c r="A15" s="2" t="inlineStr">
        <is>
          <t>仕入れ先</t>
        </is>
      </c>
      <c r="B15" s="2" t="inlineStr">
        <is>
          <t>狙い目</t>
        </is>
      </c>
      <c r="C15" s="2" t="inlineStr">
        <is>
          <t>URL</t>
        </is>
      </c>
      <c r="D15" s="2" t="inlineStr"/>
    </row>
    <row r="16">
      <c r="A16" s="3" t="inlineStr">
        <is>
          <t>駿河屋（通販/あんしん買取）</t>
        </is>
      </c>
      <c r="B16" s="16" t="inlineStr">
        <is>
          <t>シングルが安め・在庫処分。宅配で手堅い</t>
        </is>
      </c>
      <c r="C16" s="17" t="inlineStr">
        <is>
          <t>https://www.suruga-ya.jp/</t>
        </is>
      </c>
    </row>
    <row r="17">
      <c r="A17" s="3" t="inlineStr">
        <is>
          <t>カードショップのシングル/ワゴン</t>
        </is>
      </c>
      <c r="B17" s="16" t="inlineStr">
        <is>
          <t>入荷直後・店舗間の価格差・査定甘い掘出物</t>
        </is>
      </c>
      <c r="C17" s="6" t="n"/>
    </row>
    <row r="18">
      <c r="A18" s="3" t="inlineStr">
        <is>
          <t>フリマの相場割れ出品</t>
        </is>
      </c>
      <c r="B18" s="16" t="inlineStr">
        <is>
          <t>メルカリ/Yahoo!フリマの新着を即取り</t>
        </is>
      </c>
      <c r="C18" s="6" t="n"/>
    </row>
    <row r="19">
      <c r="A19" s="3" t="inlineStr">
        <is>
          <t>エコオク/エコリング</t>
        </is>
      </c>
      <c r="B19" s="16" t="inlineStr">
        <is>
          <t>手数料が安く未流通の「ウブ荷」</t>
        </is>
      </c>
      <c r="C19" s="6" t="n"/>
    </row>
    <row r="20">
      <c r="A20" s="3" t="inlineStr">
        <is>
          <t>コンビニ・量販店（新弾）</t>
        </is>
      </c>
      <c r="B20" s="16" t="inlineStr">
        <is>
          <t>定価でBOX確保→高騰待ち(セブン/ローソン/ファミマ等)</t>
        </is>
      </c>
      <c r="C20" s="6" t="n"/>
    </row>
    <row r="21">
      <c r="A21" s="10" t="inlineStr">
        <is>
          <t>⚠️ オリパ(パック販売)は期待値マイナス多く仕入れ向き×／BOXは再シュリンク詐欺に注意。</t>
        </is>
      </c>
    </row>
  </sheetData>
  <mergeCells count="1">
    <mergeCell ref="A1:D1"/>
  </mergeCells>
  <hyperlinks>
    <hyperlink xmlns:r="http://schemas.openxmlformats.org/officeDocument/2006/relationships" ref="C16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44" customWidth="1" min="3" max="3"/>
    <col width="10" customWidth="1" min="4" max="4"/>
  </cols>
  <sheetData>
    <row r="1" ht="24" customHeight="1">
      <c r="A1" s="1" t="inlineStr">
        <is>
          <t>■ 仕入れ候補・相場ツール（2026年5月 / 投資判断は自己責任）</t>
        </is>
      </c>
    </row>
    <row r="3">
      <c r="A3" s="11" t="inlineStr">
        <is>
          <t>● 今「歴史的に安い」銘柄（買取価格ベース。仕入れはこれより少し上）</t>
        </is>
      </c>
    </row>
    <row r="4">
      <c r="A4" s="2" t="inlineStr">
        <is>
          <t>銘柄</t>
        </is>
      </c>
      <c r="B4" s="2" t="inlineStr">
        <is>
          <t>現状</t>
        </is>
      </c>
      <c r="C4" s="2" t="inlineStr">
        <is>
          <t>コメント</t>
        </is>
      </c>
      <c r="D4" s="2" t="inlineStr">
        <is>
          <t>確認URL</t>
        </is>
      </c>
    </row>
    <row r="5">
      <c r="A5" s="3" t="inlineStr">
        <is>
          <t>セレナ SR(白熱のアルカナ/s11a)</t>
        </is>
      </c>
      <c r="B5" s="16" t="inlineStr">
        <is>
          <t>買取約8,000円(初動37,000円/PSA10≈25,000円)</t>
        </is>
      </c>
      <c r="C5" s="16" t="inlineStr">
        <is>
          <t>リストの「セレナ」に該当の可能性大。底値圏</t>
        </is>
      </c>
      <c r="D5" s="17" t="inlineStr">
        <is>
          <t>https://card-compass.jp/serena-sr/</t>
        </is>
      </c>
    </row>
    <row r="6">
      <c r="A6" s="3" t="inlineStr">
        <is>
          <t>ルリナ SR(全5種)</t>
        </is>
      </c>
      <c r="B6" s="16" t="inlineStr">
        <is>
          <t>種類別に相場差</t>
        </is>
      </c>
      <c r="C6" s="16" t="inlineStr">
        <is>
          <t>リストの「ルリナ」。安い版を狙う</t>
        </is>
      </c>
      <c r="D6" s="17" t="inlineStr">
        <is>
          <t>https://premium.gamepedia.jp/pokeca/card/%E3%83%AB%E3%83%AA%E3%83%8A</t>
        </is>
      </c>
    </row>
    <row r="7">
      <c r="A7" s="3" t="inlineStr">
        <is>
          <t>ソニア(全3種)</t>
        </is>
      </c>
      <c r="B7" s="16" t="inlineStr">
        <is>
          <t>種類別にばらつき</t>
        </is>
      </c>
      <c r="C7" s="16" t="inlineStr">
        <is>
          <t>リストの「ソニア」。安い版を拾う</t>
        </is>
      </c>
      <c r="D7" s="17" t="inlineStr">
        <is>
          <t>https://premium.gamepedia.jp/pokeca/card/%E3%82%BD%E3%83%8B%E3%82%A2</t>
        </is>
      </c>
    </row>
    <row r="8">
      <c r="A8" s="3" t="inlineStr">
        <is>
          <t>メガリザードンY ex MUR</t>
        </is>
      </c>
      <c r="B8" s="16" t="inlineStr">
        <is>
          <t>944,000円(30日で−336,000円)</t>
        </is>
      </c>
      <c r="C8" s="16" t="inlineStr">
        <is>
          <t>高額帯の値ごろ例(30万では手が出ない)</t>
        </is>
      </c>
      <c r="D8" s="17" t="inlineStr">
        <is>
          <t>https://pokeka-atari.jp/ranking/crash</t>
        </is>
      </c>
    </row>
    <row r="10">
      <c r="A10" s="11" t="inlineStr">
        <is>
          <t>● 毎日“今安いもの”を拾うための相場ツール</t>
        </is>
      </c>
    </row>
    <row r="11">
      <c r="A11" s="2" t="inlineStr">
        <is>
          <t>ツール</t>
        </is>
      </c>
      <c r="B11" s="2" t="inlineStr">
        <is>
          <t>用途</t>
        </is>
      </c>
      <c r="C11" s="2" t="inlineStr">
        <is>
          <t>URL</t>
        </is>
      </c>
      <c r="D11" s="2" t="inlineStr"/>
    </row>
    <row r="12">
      <c r="A12" s="3" t="inlineStr">
        <is>
          <t>みんなのポケカ相場</t>
        </is>
      </c>
      <c r="B12" s="16" t="inlineStr">
        <is>
          <t>横断相場の確認</t>
        </is>
      </c>
      <c r="C12" s="17" t="inlineStr">
        <is>
          <t>https://pokeca-chart.com/</t>
        </is>
      </c>
    </row>
    <row r="13">
      <c r="A13" s="3" t="inlineStr">
        <is>
          <t>暴落ランキング</t>
        </is>
      </c>
      <c r="B13" s="16" t="inlineStr">
        <is>
          <t>安く買える候補(毎日更新)</t>
        </is>
      </c>
      <c r="C13" s="17" t="inlineStr">
        <is>
          <t>https://pokeka-atari.jp/ranking/crash</t>
        </is>
      </c>
    </row>
    <row r="14">
      <c r="A14" s="3" t="inlineStr">
        <is>
          <t>高騰ランキング</t>
        </is>
      </c>
      <c r="B14" s="16" t="inlineStr">
        <is>
          <t>高く売れる出口の確認</t>
        </is>
      </c>
      <c r="C14" s="17" t="inlineStr">
        <is>
          <t>https://altema.jp/pokemoncard/koutou</t>
        </is>
      </c>
    </row>
    <row r="15">
      <c r="A15" s="3" t="inlineStr">
        <is>
          <t>トレチャ</t>
        </is>
      </c>
      <c r="B15" s="16" t="inlineStr">
        <is>
          <t>カードショップ横断・価格比較</t>
        </is>
      </c>
      <c r="C15" s="17" t="inlineStr">
        <is>
          <t>https://torechart.com/pokemon/priceup</t>
        </is>
      </c>
    </row>
    <row r="16">
      <c r="A16" s="3" t="inlineStr">
        <is>
          <t>スニダン 買い時/売り時分析</t>
        </is>
      </c>
      <c r="B16" s="16" t="inlineStr">
        <is>
          <t>売買タイミング</t>
        </is>
      </c>
      <c r="C16" s="17" t="inlineStr">
        <is>
          <t>https://snkrdunk.com/articles/30531/</t>
        </is>
      </c>
    </row>
    <row r="17">
      <c r="A17" s="3" t="inlineStr">
        <is>
          <t>駿河屋 買取検索</t>
        </is>
      </c>
      <c r="B17" s="16" t="inlineStr">
        <is>
          <t>仕入れ原価の目安(公開価格)</t>
        </is>
      </c>
      <c r="C17" s="17" t="inlineStr">
        <is>
          <t>https://www.suruga-ya.jp/kaitori/search_buy?category=501080033</t>
        </is>
      </c>
    </row>
    <row r="19">
      <c r="A19" s="10" t="inlineStr">
        <is>
          <t>型: ①暴落ランキングで底値の人気SAR/SR→②pokeca-chartで相場確認→③メルカリ/Yahoo!フリマの相場割れを即取り→④出口はmagi(3%)。</t>
        </is>
      </c>
    </row>
    <row r="20">
      <c r="A20" s="10" t="inlineStr">
        <is>
          <t>※価格は2026年5月時点の検索値。フリマの実出品最安は変動するため要現地確認。値下がり中＝さらに下がるリスクあり。投資は余剰資金で。</t>
        </is>
      </c>
    </row>
  </sheetData>
  <mergeCells count="1">
    <mergeCell ref="A1:D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C12" r:id="rId5"/>
    <hyperlink xmlns:r="http://schemas.openxmlformats.org/officeDocument/2006/relationships" ref="C13" r:id="rId6"/>
    <hyperlink xmlns:r="http://schemas.openxmlformats.org/officeDocument/2006/relationships" ref="C14" r:id="rId7"/>
    <hyperlink xmlns:r="http://schemas.openxmlformats.org/officeDocument/2006/relationships" ref="C15" r:id="rId8"/>
    <hyperlink xmlns:r="http://schemas.openxmlformats.org/officeDocument/2006/relationships" ref="C16" r:id="rId9"/>
    <hyperlink xmlns:r="http://schemas.openxmlformats.org/officeDocument/2006/relationships" ref="C17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2026-05-31T05:38:49Z</dcterms:created>
  <dcterms:modified xsi:type="dcterms:W3CDTF">2026-05-31T05:38:50Z</dcterms:modified>
</cp:coreProperties>
</file>